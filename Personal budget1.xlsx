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8_{79F68DB2-6F04-4CEE-9CC4-7E1B6D3C9C28}" xr6:coauthVersionLast="47" xr6:coauthVersionMax="47" xr10:uidLastSave="{00000000-0000-0000-0000-000000000000}"/>
  <bookViews>
    <workbookView xWindow="-120" yWindow="-120" windowWidth="29040" windowHeight="15840" tabRatio="550" activeTab="3" xr2:uid="{00000000-000D-0000-FFFF-FFFF00000000}"/>
  </bookViews>
  <sheets>
    <sheet name="Summary" sheetId="1" r:id="rId1"/>
    <sheet name="Monthly Income" sheetId="3" r:id="rId2"/>
    <sheet name="Monthly Savings" sheetId="5" r:id="rId3"/>
    <sheet name="Monthly Expenses" sheetId="4" r:id="rId4"/>
    <sheet name="Chart Data" sheetId="2" state="hidden" r:id="rId5"/>
  </sheets>
  <definedNames>
    <definedName name="BudgetTitle">Summary!$B$1</definedName>
    <definedName name="ColumnTitleRegion1..C4.1">Summary!$C$3</definedName>
    <definedName name="ColumnTitleRegion2..C6.1">Summary!$C$5</definedName>
    <definedName name="ColumnTitleRegion3..C8.1">Summary!$C$7</definedName>
    <definedName name="ColumnTitleRegion4..C10.1">Summary!$C$9</definedName>
    <definedName name="Percentage_of_Income_Spent">'Chart Data'!$B$5</definedName>
    <definedName name="_xlnm.Print_Titles" localSheetId="3">'Monthly Expenses'!$2:$3</definedName>
    <definedName name="_xlnm.Print_Titles" localSheetId="1">'Monthly Income'!$2:$3</definedName>
    <definedName name="_xlnm.Print_Titles" localSheetId="2">'Monthly Savings'!$2:$3</definedName>
    <definedName name="Title2">MonthlyIncome[[#Headers],[ITEM]]</definedName>
    <definedName name="Title3">MonthlyExpenses[[#Headers],[ITEM]]</definedName>
    <definedName name="Title4">Savings[[#Headers],[DATE]]</definedName>
    <definedName name="TotalMonthlyExpenses">Summary!$C$6</definedName>
    <definedName name="TotalMonthlyIncome">Summary!$C$4</definedName>
    <definedName name="TotalMonthlySavings">Summary!$C$8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5" l="1"/>
  <c r="B1" i="4"/>
  <c r="B1" i="3"/>
  <c r="C8" i="1"/>
  <c r="C10" i="1" s="1"/>
  <c r="C6" i="1"/>
  <c r="C4" i="1"/>
  <c r="B6" i="2"/>
  <c r="B5" i="2"/>
  <c r="B4" i="2" s="1"/>
  <c r="B3" i="1" l="1"/>
</calcChain>
</file>

<file path=xl/sharedStrings.xml><?xml version="1.0" encoding="utf-8"?>
<sst xmlns="http://schemas.openxmlformats.org/spreadsheetml/2006/main" count="51" uniqueCount="33">
  <si>
    <t>Summary</t>
  </si>
  <si>
    <t>TOTAL MONTHLY INCOME</t>
  </si>
  <si>
    <t>TOTAL MONTHLY EXPENSES</t>
  </si>
  <si>
    <t>TOTAL MONTHLY SAVINGS</t>
  </si>
  <si>
    <t>CASH BALANCE</t>
  </si>
  <si>
    <t>Monthly Income</t>
  </si>
  <si>
    <t>Monthly Expenses</t>
  </si>
  <si>
    <t>ITEM</t>
  </si>
  <si>
    <t>AMOUNT</t>
  </si>
  <si>
    <t>DUE DATE</t>
  </si>
  <si>
    <t>DATE</t>
  </si>
  <si>
    <t>Income Source 1</t>
  </si>
  <si>
    <t>Rent/mortgage</t>
  </si>
  <si>
    <t>Income Source 2</t>
  </si>
  <si>
    <t>Electric</t>
  </si>
  <si>
    <t>Other</t>
  </si>
  <si>
    <t>Gas</t>
  </si>
  <si>
    <t>Cell phone</t>
  </si>
  <si>
    <t>Groceries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</si>
  <si>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</si>
  <si>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</si>
  <si>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</si>
  <si>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</si>
  <si>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</si>
  <si>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</si>
  <si>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</si>
  <si>
    <t>Car payment</t>
  </si>
  <si>
    <t>Percentage of Income Spent</t>
  </si>
  <si>
    <t>Personal Budget</t>
  </si>
  <si>
    <t>CHART DATA</t>
  </si>
  <si>
    <t>Monthly Savings</t>
  </si>
  <si>
    <t>Date</t>
  </si>
  <si>
    <t>Column chart showing total monthly income and total monthly expenses is in this cell.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</si>
</sst>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"/>
    <numFmt numFmtId="165" formatCode="&quot;$&quot;#,##0.00"/>
  </numFmts>
  <fonts count="16" x14ac:knownFonts="1">
    <font>
      <sz val="11"/>
      <color theme="3" tint="0.24994659260841701"/>
      <name val="Century Gothic"/>
      <family val="2"/>
      <scheme val="minor"/>
    </font>
    <font>
      <b/>
      <sz val="10"/>
      <color theme="3" tint="9.9948118533890809E-2"/>
      <name val="Tahoma"/>
      <family val="2"/>
      <scheme val="major"/>
    </font>
    <font>
      <sz val="24"/>
      <color theme="3" tint="0.24994659260841701"/>
      <name val="Century Gothic"/>
      <family val="2"/>
      <scheme val="minor"/>
    </font>
    <font>
      <sz val="20"/>
      <color theme="0"/>
      <name val="Tahoma"/>
      <family val="2"/>
      <scheme val="major"/>
    </font>
    <font>
      <sz val="13"/>
      <color theme="3" tint="0.24994659260841701"/>
      <name val="Tahoma"/>
      <family val="2"/>
      <scheme val="major"/>
    </font>
    <font>
      <sz val="10"/>
      <name val="Century Gothic"/>
      <family val="2"/>
      <scheme val="minor"/>
    </font>
    <font>
      <sz val="11"/>
      <color theme="4" tint="-0.24994659260841701"/>
      <name val="Tahoma"/>
      <family val="2"/>
      <scheme val="major"/>
    </font>
    <font>
      <sz val="10"/>
      <color theme="0"/>
      <name val="Century Gothic"/>
      <family val="2"/>
      <scheme val="minor"/>
    </font>
    <font>
      <sz val="11"/>
      <color theme="3" tint="0.2499465926084170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20"/>
      <color theme="0"/>
      <name val="Tahoma"/>
      <family val="2"/>
      <scheme val="major"/>
    </font>
    <font>
      <b/>
      <sz val="11"/>
      <color theme="3" tint="0.24994659260841701"/>
      <name val="Century Gothic"/>
      <family val="2"/>
      <scheme val="minor"/>
    </font>
    <font>
      <b/>
      <sz val="11"/>
      <color theme="4" tint="-0.24994659260841701"/>
      <name val="Tahoma"/>
      <family val="2"/>
      <scheme val="major"/>
    </font>
    <font>
      <b/>
      <sz val="13"/>
      <color theme="0"/>
      <name val="Tahoma"/>
      <family val="2"/>
      <scheme val="major"/>
    </font>
    <font>
      <b/>
      <sz val="11"/>
      <color theme="0"/>
      <name val="Tahom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3" tint="9.9948118533890809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2" borderId="0" applyNumberFormat="0" applyProtection="0">
      <alignment horizontal="left" vertical="center"/>
    </xf>
    <xf numFmtId="0" fontId="4" fillId="0" borderId="0" applyNumberFormat="0" applyProtection="0">
      <alignment horizontal="left"/>
    </xf>
    <xf numFmtId="0" fontId="6" fillId="0" borderId="1" applyNumberFormat="0" applyAlignment="0" applyProtection="0"/>
    <xf numFmtId="164" fontId="2" fillId="0" borderId="0" applyAlignment="0" applyProtection="0"/>
    <xf numFmtId="0" fontId="1" fillId="0" borderId="0" applyNumberFormat="0" applyFill="0" applyBorder="0" applyAlignment="0" applyProtection="0"/>
    <xf numFmtId="164" fontId="2" fillId="0" borderId="0">
      <alignment horizontal="left" vertical="top"/>
    </xf>
    <xf numFmtId="165" fontId="8" fillId="0" borderId="0">
      <alignment horizontal="left" vertical="center"/>
    </xf>
    <xf numFmtId="0" fontId="8" fillId="0" borderId="0">
      <alignment horizontal="left" vertical="center" wrapText="1"/>
    </xf>
    <xf numFmtId="14" fontId="8" fillId="0" borderId="0">
      <alignment horizontal="left" vertical="center"/>
    </xf>
  </cellStyleXfs>
  <cellXfs count="4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9" fontId="5" fillId="0" borderId="0" xfId="0" applyNumberFormat="1" applyFont="1" applyAlignment="1">
      <alignment horizontal="left" vertical="center"/>
    </xf>
    <xf numFmtId="0" fontId="3" fillId="2" borderId="0" xfId="1">
      <alignment horizontal="left" vertical="center"/>
    </xf>
    <xf numFmtId="9" fontId="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2" borderId="0" xfId="1" applyFo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4" fillId="3" borderId="2" xfId="2" applyFont="1" applyFill="1" applyBorder="1" applyAlignment="1">
      <alignment horizontal="left" vertical="center"/>
    </xf>
    <xf numFmtId="0" fontId="15" fillId="3" borderId="2" xfId="3" applyFont="1" applyFill="1" applyBorder="1" applyAlignment="1">
      <alignment vertical="center"/>
    </xf>
    <xf numFmtId="14" fontId="12" fillId="0" borderId="2" xfId="9" applyFont="1" applyBorder="1">
      <alignment horizontal="left" vertical="center"/>
    </xf>
    <xf numFmtId="165" fontId="12" fillId="0" borderId="2" xfId="7" applyFont="1" applyBorder="1">
      <alignment horizontal="left" vertical="center"/>
    </xf>
    <xf numFmtId="0" fontId="15" fillId="3" borderId="2" xfId="3" applyFont="1" applyFill="1" applyBorder="1"/>
    <xf numFmtId="0" fontId="12" fillId="0" borderId="2" xfId="8" applyFont="1" applyBorder="1">
      <alignment horizontal="left" vertical="center" wrapText="1"/>
    </xf>
    <xf numFmtId="0" fontId="15" fillId="3" borderId="3" xfId="3" applyFont="1" applyFill="1" applyBorder="1" applyAlignment="1">
      <alignment vertical="center"/>
    </xf>
    <xf numFmtId="0" fontId="15" fillId="3" borderId="4" xfId="3" applyFont="1" applyFill="1" applyBorder="1" applyAlignment="1">
      <alignment vertical="center"/>
    </xf>
    <xf numFmtId="0" fontId="12" fillId="0" borderId="5" xfId="8" applyFont="1" applyBorder="1">
      <alignment horizontal="left" vertical="center" wrapText="1"/>
    </xf>
    <xf numFmtId="165" fontId="12" fillId="0" borderId="6" xfId="7" applyFont="1" applyBorder="1">
      <alignment horizontal="left" vertical="center"/>
    </xf>
    <xf numFmtId="0" fontId="12" fillId="0" borderId="7" xfId="8" applyFont="1" applyBorder="1">
      <alignment horizontal="left" vertical="center" wrapText="1"/>
    </xf>
    <xf numFmtId="165" fontId="12" fillId="0" borderId="8" xfId="7" applyFont="1" applyBorder="1">
      <alignment horizontal="left" vertical="center"/>
    </xf>
    <xf numFmtId="0" fontId="13" fillId="0" borderId="1" xfId="3" applyFont="1" applyAlignment="1">
      <alignment vertical="center"/>
    </xf>
    <xf numFmtId="0" fontId="13" fillId="0" borderId="1" xfId="3" applyFont="1" applyAlignment="1">
      <alignment horizontal="left" vertical="center"/>
    </xf>
    <xf numFmtId="164" fontId="2" fillId="0" borderId="0" xfId="6" applyFont="1">
      <alignment horizontal="left" vertical="top"/>
    </xf>
    <xf numFmtId="0" fontId="11" fillId="4" borderId="0" xfId="1" applyFont="1" applyFill="1">
      <alignment horizontal="left" vertical="center"/>
    </xf>
    <xf numFmtId="0" fontId="14" fillId="4" borderId="0" xfId="2" applyFont="1" applyFill="1" applyAlignment="1">
      <alignment horizontal="left" vertical="center"/>
    </xf>
    <xf numFmtId="0" fontId="0" fillId="4" borderId="0" xfId="0" applyFill="1"/>
    <xf numFmtId="0" fontId="14" fillId="4" borderId="0" xfId="2" applyFont="1" applyFill="1">
      <alignment horizontal="left"/>
    </xf>
    <xf numFmtId="0" fontId="11" fillId="4" borderId="2" xfId="1" applyFont="1" applyFill="1" applyBorder="1">
      <alignment horizontal="left" vertical="center"/>
    </xf>
    <xf numFmtId="0" fontId="11" fillId="4" borderId="2" xfId="1" applyFont="1" applyFill="1" applyBorder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3" fillId="4" borderId="0" xfId="1" applyFill="1">
      <alignment horizontal="left" vertical="center"/>
    </xf>
    <xf numFmtId="0" fontId="0" fillId="4" borderId="0" xfId="0" applyFill="1" applyAlignment="1">
      <alignment horizontal="left" vertical="center"/>
    </xf>
    <xf numFmtId="0" fontId="14" fillId="4" borderId="2" xfId="2" applyFont="1" applyFill="1" applyBorder="1" applyAlignment="1">
      <alignment horizontal="left" vertical="center"/>
    </xf>
    <xf numFmtId="0" fontId="15" fillId="3" borderId="9" xfId="3" applyFont="1" applyFill="1" applyBorder="1"/>
    <xf numFmtId="0" fontId="12" fillId="5" borderId="0" xfId="0" applyFont="1" applyFill="1" applyAlignment="1">
      <alignment horizontal="left"/>
    </xf>
    <xf numFmtId="0" fontId="12" fillId="0" borderId="0" xfId="0" applyFont="1" applyBorder="1"/>
    <xf numFmtId="0" fontId="12" fillId="5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/>
    </xf>
  </cellXfs>
  <cellStyles count="10">
    <cellStyle name="Amount" xfId="7" xr:uid="{00000000-0005-0000-0000-000000000000}"/>
    <cellStyle name="Date" xfId="9" xr:uid="{00000000-0005-0000-0000-000001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tem" xfId="8" xr:uid="{00000000-0005-0000-0000-000006000000}"/>
    <cellStyle name="Normal" xfId="0" builtinId="0" customBuiltin="1"/>
    <cellStyle name="Title" xfId="1" builtinId="15" customBuiltin="1"/>
    <cellStyle name="Totals" xfId="6" xr:uid="{00000000-0005-0000-0000-000009000000}"/>
  </cellStyles>
  <dxfs count="21">
    <dxf>
      <font>
        <b/>
        <strike val="0"/>
        <outline val="0"/>
        <shadow val="0"/>
        <u val="none"/>
        <vertAlign val="baseline"/>
        <sz val="11"/>
        <color theme="0"/>
        <name val="Tahoma"/>
        <family val="2"/>
        <scheme val="major"/>
      </font>
      <fill>
        <patternFill patternType="solid">
          <fgColor indexed="64"/>
          <bgColor theme="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color theme="7"/>
      </font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>
        <top style="double">
          <color theme="3" tint="9.9948118533890809E-2"/>
        </top>
      </border>
    </dxf>
    <dxf>
      <font>
        <b val="0"/>
        <i val="0"/>
        <color theme="4" tint="-0.24994659260841701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thin">
          <color theme="2" tint="-0.24994659260841701"/>
        </bottom>
        <vertical/>
        <horizontal/>
      </border>
    </dxf>
    <dxf>
      <font>
        <b val="0"/>
        <i val="0"/>
        <color theme="3" tint="0.2499465926084170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theme="2" tint="-0.24994659260841701"/>
        </horizontal>
      </border>
    </dxf>
  </dxfs>
  <tableStyles count="1" defaultTableStyle="Personal budget table" defaultPivotStyle="PivotStyleLight16">
    <tableStyle name="Personal budget table" pivot="0" count="3" xr9:uid="{00000000-0011-0000-FFFF-FFFF00000000}">
      <tableStyleElement type="wholeTable" dxfId="20"/>
      <tableStyleElement type="headerRow" dxfId="19"/>
      <tableStyleElement type="total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61220415477837"/>
          <c:y val="0.19933717294131384"/>
          <c:w val="0.77479386099288527"/>
          <c:h val="0.64091170605289205"/>
        </c:manualLayout>
      </c:layout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A9-4669-9A55-9B918C2F1273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EA9-4669-9A55-9B918C2F127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A9-4669-9A55-9B918C2F1273}"/>
                </c:ext>
              </c:extLst>
            </c:dLbl>
            <c:dLbl>
              <c:idx val="1"/>
              <c:layout>
                <c:manualLayout>
                  <c:x val="0.12416047065324262"/>
                  <c:y val="1.378628844703616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none" lIns="38100" tIns="19050" rIns="38100" bIns="19050" anchor="ctr" anchorCtr="1">
                  <a:noAutofit/>
                </a:bodyPr>
                <a:lstStyle/>
                <a:p>
                  <a:pPr>
                    <a:defRPr sz="5300" b="0" i="0" u="none" strike="noStrike" kern="1200" baseline="0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99457156090782772"/>
                      <c:h val="0.999862272407859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EA9-4669-9A55-9B918C2F12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53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'Chart Data'!$B$4:$B$5</c:f>
              <c:numCache>
                <c:formatCode>0%</c:formatCode>
                <c:ptCount val="2"/>
                <c:pt idx="0">
                  <c:v>0.37706666666666666</c:v>
                </c:pt>
                <c:pt idx="1">
                  <c:v>0.62293333333333334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22-4DD0-9B19-D5F075987E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49955885043119"/>
          <c:y val="4.1568151832956132E-2"/>
          <c:w val="0.67371022743361519"/>
          <c:h val="0.78521554440591468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 </c:v>
              </c:pt>
            </c:strLit>
          </c:cat>
          <c:val>
            <c:numRef>
              <c:f>Summary!$C$4</c:f>
              <c:numCache>
                <c:formatCode>"$"#,##0</c:formatCode>
                <c:ptCount val="1"/>
                <c:pt idx="0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A8D-AD80-74C09DFD73FF}"/>
            </c:ext>
          </c:extLst>
        </c:ser>
        <c:ser>
          <c:idx val="1"/>
          <c:order val="1"/>
          <c:tx>
            <c:v>Expenses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EE4-43DA-8A6E-9087B1F74C7D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Summary!$C$6</c:f>
              <c:numCache>
                <c:formatCode>"$"#,##0</c:formatCode>
                <c:ptCount val="1"/>
                <c:pt idx="0">
                  <c:v>2336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9-4A8D-AD80-74C09DFD7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4295816"/>
        <c:axId val="274296208"/>
      </c:barChart>
      <c:catAx>
        <c:axId val="274295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4296208"/>
        <c:crosses val="autoZero"/>
        <c:auto val="1"/>
        <c:lblAlgn val="ctr"/>
        <c:lblOffset val="100"/>
        <c:noMultiLvlLbl val="0"/>
      </c:catAx>
      <c:valAx>
        <c:axId val="27429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7429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419099</xdr:rowOff>
    </xdr:from>
    <xdr:to>
      <xdr:col>2</xdr:col>
      <xdr:colOff>9525</xdr:colOff>
      <xdr:row>10</xdr:row>
      <xdr:rowOff>206375</xdr:rowOff>
    </xdr:to>
    <xdr:graphicFrame macro="">
      <xdr:nvGraphicFramePr>
        <xdr:cNvPr id="4" name="chtIncomePct" descr="Donut chart showing percentage of income spe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295275</xdr:colOff>
      <xdr:row>2</xdr:row>
      <xdr:rowOff>285750</xdr:rowOff>
    </xdr:from>
    <xdr:to>
      <xdr:col>9</xdr:col>
      <xdr:colOff>123825</xdr:colOff>
      <xdr:row>12</xdr:row>
      <xdr:rowOff>85725</xdr:rowOff>
    </xdr:to>
    <xdr:graphicFrame macro="">
      <xdr:nvGraphicFramePr>
        <xdr:cNvPr id="2" name="chtIncomeExpenses" descr="Column bar chart comparing income and expense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MonthlyIncome" displayName="MonthlyIncome" ref="B3:C6" totalsRowShown="0" headerRowDxfId="0" dataDxfId="16" headerRowBorderDxfId="4" tableBorderDxfId="5" totalsRowBorderDxfId="3">
  <autoFilter ref="B3:C6" xr:uid="{00000000-0009-0000-0100-000004000000}"/>
  <tableColumns count="2">
    <tableColumn id="1" xr3:uid="{00000000-0010-0000-0000-000001000000}" name="ITEM" dataDxfId="2" dataCellStyle="Item"/>
    <tableColumn id="2" xr3:uid="{00000000-0010-0000-0000-000002000000}" name="AMOUNT" dataDxfId="1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income sources and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Savings" displayName="Savings" ref="B3:C6" totalsRowShown="0" headerRowDxfId="11" dataDxfId="15">
  <autoFilter ref="B3:C6" xr:uid="{00000000-0009-0000-0100-00000C000000}"/>
  <tableColumns count="2">
    <tableColumn id="1" xr3:uid="{00000000-0010-0000-0200-000001000000}" name="DATE" dataDxfId="13" dataCellStyle="Date"/>
    <tableColumn id="2" xr3:uid="{00000000-0010-0000-0200-000002000000}" name="AMOUNT" dataDxfId="12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 amounts and date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MonthlyExpenses" displayName="MonthlyExpenses" ref="B3:D16" totalsRowShown="0" headerRowDxfId="9" dataDxfId="14" headerRowBorderDxfId="10">
  <autoFilter ref="B3:D16" xr:uid="{00000000-0009-0000-0100-000008000000}"/>
  <tableColumns count="3">
    <tableColumn id="1" xr3:uid="{00000000-0010-0000-0100-000001000000}" name="ITEM" dataDxfId="8" dataCellStyle="Item"/>
    <tableColumn id="2" xr3:uid="{00000000-0010-0000-0100-000002000000}" name="DUE DATE" dataDxfId="7" dataCellStyle="Date"/>
    <tableColumn id="3" xr3:uid="{00000000-0010-0000-0100-000003000000}" name="AMOUNT" dataDxfId="6" dataCellStyle="Amount"/>
  </tableColumns>
  <tableStyleInfo name="Personal budget 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, their due date and amounts in this table"/>
    </ext>
  </extLst>
</table>
</file>

<file path=xl/theme/theme1.xml><?xml version="1.0" encoding="utf-8"?>
<a:theme xmlns:a="http://schemas.openxmlformats.org/drawingml/2006/main" name="Personal budget2">
  <a:themeElements>
    <a:clrScheme name="Personal budget">
      <a:dk1>
        <a:sysClr val="windowText" lastClr="000000"/>
      </a:dk1>
      <a:lt1>
        <a:sysClr val="window" lastClr="FFFFFF"/>
      </a:lt1>
      <a:dk2>
        <a:srgbClr val="2A2A29"/>
      </a:dk2>
      <a:lt2>
        <a:srgbClr val="EEEEEB"/>
      </a:lt2>
      <a:accent1>
        <a:srgbClr val="0592FE"/>
      </a:accent1>
      <a:accent2>
        <a:srgbClr val="69BBFE"/>
      </a:accent2>
      <a:accent3>
        <a:srgbClr val="2EB470"/>
      </a:accent3>
      <a:accent4>
        <a:srgbClr val="F35754"/>
      </a:accent4>
      <a:accent5>
        <a:srgbClr val="B35297"/>
      </a:accent5>
      <a:accent6>
        <a:srgbClr val="FB911F"/>
      </a:accent6>
      <a:hlink>
        <a:srgbClr val="B35297"/>
      </a:hlink>
      <a:folHlink>
        <a:srgbClr val="0591FE"/>
      </a:folHlink>
    </a:clrScheme>
    <a:fontScheme name="Personal budget">
      <a:majorFont>
        <a:latin typeface="Tahoma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  <pageSetUpPr fitToPage="1"/>
  </sheetPr>
  <dimension ref="A1:K11"/>
  <sheetViews>
    <sheetView showGridLines="0" zoomScaleNormal="100" workbookViewId="0">
      <selection activeCell="C14" sqref="C14"/>
    </sheetView>
  </sheetViews>
  <sheetFormatPr defaultColWidth="9" defaultRowHeight="27.75" customHeight="1" x14ac:dyDescent="0.3"/>
  <cols>
    <col min="1" max="1" width="2.625" customWidth="1"/>
    <col min="2" max="2" width="40.625" style="2" customWidth="1"/>
    <col min="3" max="3" width="30.625" customWidth="1"/>
    <col min="4" max="8" width="9" style="2"/>
    <col min="9" max="9" width="2.625" style="2" customWidth="1"/>
    <col min="10" max="16384" width="9" style="2"/>
  </cols>
  <sheetData>
    <row r="1" spans="1:11" s="1" customFormat="1" ht="46.5" customHeight="1" x14ac:dyDescent="0.35">
      <c r="A1" s="30"/>
      <c r="B1" s="31" t="s">
        <v>28</v>
      </c>
      <c r="C1" s="30"/>
      <c r="D1" s="30"/>
      <c r="E1" s="30"/>
      <c r="F1" s="30"/>
      <c r="G1" s="30"/>
      <c r="H1" s="30"/>
      <c r="I1" s="30"/>
      <c r="J1" s="30"/>
      <c r="K1" s="30"/>
    </row>
    <row r="2" spans="1:11" s="1" customFormat="1" ht="18.75" customHeight="1" x14ac:dyDescent="0.3">
      <c r="A2" s="28"/>
      <c r="B2" s="29" t="s">
        <v>27</v>
      </c>
      <c r="C2" s="29" t="s">
        <v>0</v>
      </c>
    </row>
    <row r="3" spans="1:11" s="1" customFormat="1" ht="46.5" customHeight="1" x14ac:dyDescent="0.3">
      <c r="A3"/>
      <c r="B3" s="5">
        <f>Percentage_of_Income_Spent</f>
        <v>0.62293333333333334</v>
      </c>
      <c r="C3" s="23" t="s">
        <v>1</v>
      </c>
      <c r="D3" s="6" t="s">
        <v>32</v>
      </c>
      <c r="E3" s="6"/>
      <c r="F3" s="6"/>
      <c r="G3" s="6"/>
      <c r="H3" s="6"/>
    </row>
    <row r="4" spans="1:11" s="1" customFormat="1" ht="36" customHeight="1" x14ac:dyDescent="0.3">
      <c r="A4"/>
      <c r="B4" s="5"/>
      <c r="C4" s="25">
        <f>SUM(MonthlyIncome[[#All],[AMOUNT]])</f>
        <v>3750</v>
      </c>
      <c r="D4" s="6"/>
      <c r="E4" s="6"/>
      <c r="F4" s="6"/>
      <c r="G4" s="6"/>
      <c r="H4" s="6"/>
    </row>
    <row r="5" spans="1:11" s="1" customFormat="1" ht="42.75" customHeight="1" x14ac:dyDescent="0.3">
      <c r="A5"/>
      <c r="B5" s="5"/>
      <c r="C5" s="24" t="s">
        <v>2</v>
      </c>
      <c r="D5" s="6"/>
      <c r="E5" s="6"/>
      <c r="F5" s="6"/>
      <c r="G5" s="6"/>
      <c r="H5" s="6"/>
    </row>
    <row r="6" spans="1:11" ht="27.75" customHeight="1" x14ac:dyDescent="0.3">
      <c r="B6" s="5"/>
      <c r="C6" s="25">
        <f>SUM(MonthlyExpenses[[#All],[AMOUNT]])</f>
        <v>2336</v>
      </c>
      <c r="D6" s="6"/>
      <c r="E6" s="6"/>
      <c r="F6" s="6"/>
      <c r="G6" s="6"/>
      <c r="H6" s="6"/>
      <c r="I6" s="1"/>
      <c r="J6" s="1"/>
      <c r="K6" s="1"/>
    </row>
    <row r="7" spans="1:11" ht="39" customHeight="1" x14ac:dyDescent="0.3">
      <c r="B7" s="5"/>
      <c r="C7" s="24" t="s">
        <v>3</v>
      </c>
      <c r="D7" s="6"/>
      <c r="E7" s="6"/>
      <c r="F7" s="6"/>
      <c r="G7" s="6"/>
      <c r="H7" s="6"/>
      <c r="I7" s="1"/>
      <c r="J7" s="1"/>
      <c r="K7" s="1"/>
    </row>
    <row r="8" spans="1:11" ht="27.75" customHeight="1" x14ac:dyDescent="0.3">
      <c r="B8" s="5"/>
      <c r="C8" s="25">
        <f>SUM(Savings[[#All],[AMOUNT]])</f>
        <v>550</v>
      </c>
      <c r="D8" s="6"/>
      <c r="E8" s="6"/>
      <c r="F8" s="6"/>
      <c r="G8" s="6"/>
      <c r="H8" s="6"/>
      <c r="I8" s="1"/>
      <c r="J8" s="1"/>
      <c r="K8" s="1"/>
    </row>
    <row r="9" spans="1:11" ht="27.75" customHeight="1" x14ac:dyDescent="0.3">
      <c r="B9" s="5"/>
      <c r="C9" s="24" t="s">
        <v>4</v>
      </c>
      <c r="D9" s="6"/>
      <c r="E9" s="6"/>
      <c r="F9" s="6"/>
      <c r="G9" s="6"/>
      <c r="H9" s="6"/>
      <c r="I9" s="1"/>
      <c r="J9" s="1"/>
      <c r="K9" s="1"/>
    </row>
    <row r="10" spans="1:11" ht="27.75" customHeight="1" x14ac:dyDescent="0.3">
      <c r="B10" s="5"/>
      <c r="C10" s="25">
        <f>TotalMonthlyIncome-TotalMonthlyExpenses-TotalMonthlySavings</f>
        <v>864</v>
      </c>
      <c r="D10" s="6"/>
      <c r="E10" s="6"/>
      <c r="F10" s="6"/>
      <c r="G10" s="6"/>
      <c r="H10" s="6"/>
      <c r="I10" s="1"/>
      <c r="J10" s="1"/>
      <c r="K10" s="1"/>
    </row>
    <row r="11" spans="1:11" ht="27.75" customHeight="1" x14ac:dyDescent="0.3">
      <c r="D11" s="6"/>
      <c r="E11" s="6"/>
      <c r="F11" s="6"/>
      <c r="G11" s="6"/>
      <c r="H11" s="6"/>
    </row>
  </sheetData>
  <mergeCells count="2">
    <mergeCell ref="B3:B10"/>
    <mergeCell ref="D3:H11"/>
  </mergeCells>
  <dataValidations count="14">
    <dataValidation allowBlank="1" showInputMessage="1" showErrorMessage="1" prompt="Create a Personal budget in this workbook. Donut and column charts are automatically updated in this worksheet based on total monthly income and expenses" sqref="A1" xr:uid="{00000000-0002-0000-0000-000000000000}"/>
    <dataValidation allowBlank="1" showInputMessage="1" showErrorMessage="1" prompt="Total Monthly Income is automatically calculated in this cell " sqref="C4" xr:uid="{00000000-0002-0000-0000-000001000000}"/>
    <dataValidation allowBlank="1" showInputMessage="1" showErrorMessage="1" prompt="Total Monthly Expenses are automatically calculated in this cell" sqref="C6" xr:uid="{00000000-0002-0000-0000-000002000000}"/>
    <dataValidation allowBlank="1" showInputMessage="1" showErrorMessage="1" prompt="Total Monthly Savings are automatically calculated in this cell" sqref="C8" xr:uid="{00000000-0002-0000-0000-000003000000}"/>
    <dataValidation allowBlank="1" showInputMessage="1" showErrorMessage="1" prompt="Cash Balance is automatically calculated in this cell" sqref="C10" xr:uid="{00000000-0002-0000-0000-000004000000}"/>
    <dataValidation allowBlank="1" showInputMessage="1" showErrorMessage="1" prompt="Title of this worksheet is in this cell. Summary of Total Monthly Income, Total Monthly Expenses, Total Monthly Savings, and Cash Balance is in cells C3 through C10" sqref="B1" xr:uid="{00000000-0002-0000-0000-000005000000}"/>
    <dataValidation allowBlank="1" showInputMessage="1" showErrorMessage="1" prompt="Donut chart with percentage of income spent is in this cell" sqref="B3:B10" xr:uid="{00000000-0002-0000-0000-000006000000}"/>
    <dataValidation allowBlank="1" showInputMessage="1" showErrorMessage="1" prompt="Donut chart with percentage of income spent is in cell below" sqref="B2" xr:uid="{00000000-0002-0000-0000-000007000000}"/>
    <dataValidation allowBlank="1" showInputMessage="1" showErrorMessage="1" prompt="Summary of Total Monthly Income, Expenses, Savings, &amp; Cash Balance is automatically updated in cells below. Total monthly income &amp; total monthly expenses column chart is in cell D3" sqref="C2" xr:uid="{00000000-0002-0000-0000-000008000000}"/>
    <dataValidation allowBlank="1" showInputMessage="1" showErrorMessage="1" prompt="Total Monthly Income is automatically calculated in cell below" sqref="C3" xr:uid="{00000000-0002-0000-0000-000009000000}"/>
    <dataValidation allowBlank="1" showInputMessage="1" showErrorMessage="1" prompt="Total Monthly Expenses are automatically calculated in cell below" sqref="C5" xr:uid="{00000000-0002-0000-0000-00000A000000}"/>
    <dataValidation allowBlank="1" showInputMessage="1" showErrorMessage="1" prompt="Total Monthly Savings are automatically calculated in cell below" sqref="C7" xr:uid="{00000000-0002-0000-0000-00000B000000}"/>
    <dataValidation allowBlank="1" showInputMessage="1" showErrorMessage="1" prompt="Cash Balance is automatically calculated in cell below" sqref="C9" xr:uid="{00000000-0002-0000-0000-00000C000000}"/>
    <dataValidation allowBlank="1" showInputMessage="1" showErrorMessage="1" prompt="Column chart contrasting total monthly income and total monthly expenses is in cells  D3 through H11" sqref="D3:H11" xr:uid="{00000000-0002-0000-0000-00000D000000}"/>
  </dataValidations>
  <printOptions horizontalCentered="1"/>
  <pageMargins left="0.4" right="0.4" top="0.4" bottom="0.4" header="0.25" footer="0.25"/>
  <pageSetup scale="76" fitToHeight="0" orientation="portrait" r:id="rId1"/>
  <headerFooter differentFirst="1">
    <oddFooter>&amp;CPage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9259091-5E1F-48B8-ACB1-043C76D3FB35}">
            <xm:f>'Chart Data'!$B$6</xm:f>
            <x14:dxf>
              <font>
                <color theme="7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A1:U6"/>
  <sheetViews>
    <sheetView showGridLines="0" zoomScaleNormal="100" workbookViewId="0">
      <selection activeCell="C2" sqref="C2:D2"/>
    </sheetView>
  </sheetViews>
  <sheetFormatPr defaultColWidth="9" defaultRowHeight="27.75" customHeight="1" x14ac:dyDescent="0.2"/>
  <cols>
    <col min="1" max="1" width="2.625" style="10" customWidth="1"/>
    <col min="2" max="2" width="19.625" style="10" customWidth="1"/>
    <col min="3" max="3" width="15.625" style="8" customWidth="1"/>
    <col min="4" max="16384" width="9" style="10"/>
  </cols>
  <sheetData>
    <row r="1" spans="1:21" s="7" customFormat="1" ht="40.5" customHeight="1" x14ac:dyDescent="0.3">
      <c r="A1" s="26"/>
      <c r="B1" s="26" t="str">
        <f>BudgetTitle</f>
        <v>Personal Budget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s="9" customFormat="1" ht="31.5" customHeight="1" x14ac:dyDescent="0.2">
      <c r="A2" s="32"/>
      <c r="B2" s="27" t="s">
        <v>5</v>
      </c>
      <c r="C2" s="8"/>
    </row>
    <row r="3" spans="1:21" s="9" customFormat="1" ht="18.75" customHeight="1" x14ac:dyDescent="0.3">
      <c r="B3" s="17" t="s">
        <v>7</v>
      </c>
      <c r="C3" s="18" t="s">
        <v>8</v>
      </c>
    </row>
    <row r="4" spans="1:21" ht="27.95" customHeight="1" x14ac:dyDescent="0.2">
      <c r="A4" s="9"/>
      <c r="B4" s="19" t="s">
        <v>11</v>
      </c>
      <c r="C4" s="20">
        <v>2500</v>
      </c>
    </row>
    <row r="5" spans="1:21" ht="27.95" customHeight="1" x14ac:dyDescent="0.2">
      <c r="A5" s="9"/>
      <c r="B5" s="19" t="s">
        <v>13</v>
      </c>
      <c r="C5" s="20">
        <v>1000</v>
      </c>
    </row>
    <row r="6" spans="1:21" ht="27.95" customHeight="1" x14ac:dyDescent="0.2">
      <c r="A6" s="9"/>
      <c r="B6" s="21" t="s">
        <v>15</v>
      </c>
      <c r="C6" s="22">
        <v>250</v>
      </c>
    </row>
  </sheetData>
  <dataValidations count="5">
    <dataValidation allowBlank="1" showInputMessage="1" showErrorMessage="1" prompt="Enter Monthly Income in this worksheet" sqref="A1" xr:uid="{00000000-0002-0000-0100-000000000000}"/>
    <dataValidation allowBlank="1" showInputMessage="1" showErrorMessage="1" prompt="Enter income Items in this column under this heading. Use heading filters to find specific entries" sqref="B3" xr:uid="{00000000-0002-0000-0100-000001000000}"/>
    <dataValidation allowBlank="1" showInputMessage="1" showErrorMessage="1" prompt="Enter Amount in this column under this heading" sqref="C3" xr:uid="{00000000-0002-0000-0100-000002000000}"/>
    <dataValidation allowBlank="1" showInputMessage="1" showErrorMessage="1" prompt="Title is automatically updated in this cell" sqref="B1" xr:uid="{00000000-0002-0000-0100-000003000000}"/>
    <dataValidation allowBlank="1" showInputMessage="1" showErrorMessage="1" prompt="Enter Monthly Income details in table below" sqref="B2" xr:uid="{00000000-0002-0000-01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499984740745262"/>
    <pageSetUpPr fitToPage="1"/>
  </sheetPr>
  <dimension ref="A1:I6"/>
  <sheetViews>
    <sheetView showGridLines="0" zoomScaleNormal="100" workbookViewId="0">
      <selection activeCell="G11" sqref="G11"/>
    </sheetView>
  </sheetViews>
  <sheetFormatPr defaultColWidth="9" defaultRowHeight="27.75" customHeight="1" x14ac:dyDescent="0.2"/>
  <cols>
    <col min="1" max="1" width="2.625" style="10" customWidth="1"/>
    <col min="2" max="2" width="19.625" style="10" customWidth="1"/>
    <col min="3" max="3" width="15.625" style="8" customWidth="1"/>
    <col min="4" max="16384" width="9" style="10"/>
  </cols>
  <sheetData>
    <row r="1" spans="1:9" s="7" customFormat="1" ht="40.5" customHeight="1" x14ac:dyDescent="0.3">
      <c r="B1" s="7" t="str">
        <f>BudgetTitle</f>
        <v>Personal Budget</v>
      </c>
    </row>
    <row r="2" spans="1:9" s="9" customFormat="1" ht="31.5" customHeight="1" x14ac:dyDescent="0.2">
      <c r="A2" s="8"/>
      <c r="B2" s="11" t="s">
        <v>30</v>
      </c>
      <c r="C2" s="8"/>
    </row>
    <row r="3" spans="1:9" s="9" customFormat="1" ht="18.75" customHeight="1" x14ac:dyDescent="0.2">
      <c r="A3" s="8"/>
      <c r="B3" s="12" t="s">
        <v>10</v>
      </c>
      <c r="C3" s="12" t="s">
        <v>8</v>
      </c>
    </row>
    <row r="4" spans="1:9" ht="27.95" customHeight="1" x14ac:dyDescent="0.2">
      <c r="A4" s="8"/>
      <c r="B4" s="13" t="s">
        <v>31</v>
      </c>
      <c r="C4" s="14">
        <v>200</v>
      </c>
      <c r="G4" s="8"/>
      <c r="H4" s="9"/>
    </row>
    <row r="5" spans="1:9" ht="27.95" customHeight="1" x14ac:dyDescent="0.2">
      <c r="A5" s="8"/>
      <c r="B5" s="13" t="s">
        <v>31</v>
      </c>
      <c r="C5" s="14">
        <v>250</v>
      </c>
      <c r="E5" s="37"/>
      <c r="F5" s="38"/>
      <c r="G5" s="39"/>
      <c r="H5" s="40"/>
      <c r="I5" s="40"/>
    </row>
    <row r="6" spans="1:9" ht="27.95" customHeight="1" x14ac:dyDescent="0.2">
      <c r="A6" s="8"/>
      <c r="B6" s="13" t="s">
        <v>31</v>
      </c>
      <c r="C6" s="14">
        <v>100</v>
      </c>
      <c r="F6" s="40"/>
      <c r="G6" s="40"/>
      <c r="H6" s="40"/>
      <c r="I6" s="38"/>
    </row>
  </sheetData>
  <dataValidations count="5">
    <dataValidation allowBlank="1" showInputMessage="1" showErrorMessage="1" prompt="Enter Monthly Savings in this worksheet" sqref="A1" xr:uid="{00000000-0002-0000-0300-000000000000}"/>
    <dataValidation allowBlank="1" showInputMessage="1" showErrorMessage="1" prompt="Enter savngs deposit Date in this column under this heading. Use heading filters to find specific entries" sqref="B3" xr:uid="{00000000-0002-0000-0300-000001000000}"/>
    <dataValidation allowBlank="1" showInputMessage="1" showErrorMessage="1" prompt="Enter Amount in this column under this heading" sqref="C3" xr:uid="{00000000-0002-0000-0300-000002000000}"/>
    <dataValidation allowBlank="1" showInputMessage="1" showErrorMessage="1" prompt="Title is automatically updated in this cell" sqref="B1" xr:uid="{00000000-0002-0000-0300-000003000000}"/>
    <dataValidation allowBlank="1" showInputMessage="1" showErrorMessage="1" prompt="Enter Monthly Savings in table below" sqref="B2" xr:uid="{00000000-0002-0000-0300-000004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  <pageSetUpPr fitToPage="1"/>
  </sheetPr>
  <dimension ref="A1:T16"/>
  <sheetViews>
    <sheetView showGridLines="0" tabSelected="1" zoomScaleNormal="100" workbookViewId="0">
      <selection activeCell="D2" activeCellId="1" sqref="C2 D2"/>
    </sheetView>
  </sheetViews>
  <sheetFormatPr defaultColWidth="9" defaultRowHeight="27.75" customHeight="1" x14ac:dyDescent="0.3"/>
  <cols>
    <col min="1" max="1" width="2.625" style="2" customWidth="1"/>
    <col min="2" max="2" width="19.625" style="2" customWidth="1"/>
    <col min="3" max="3" width="15.625" customWidth="1"/>
    <col min="4" max="4" width="15.625" style="2" customWidth="1"/>
    <col min="5" max="16384" width="9" style="2"/>
  </cols>
  <sheetData>
    <row r="1" spans="1:20" s="4" customFormat="1" ht="40.5" customHeight="1" x14ac:dyDescent="0.3">
      <c r="A1" s="33"/>
      <c r="B1" s="33" t="str">
        <f>BudgetTitle</f>
        <v>Personal Budget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s="1" customFormat="1" ht="31.5" customHeight="1" x14ac:dyDescent="0.2">
      <c r="A2" s="34"/>
      <c r="B2" s="35" t="s">
        <v>6</v>
      </c>
      <c r="C2" s="8"/>
      <c r="D2" s="9"/>
    </row>
    <row r="3" spans="1:20" s="1" customFormat="1" ht="18.75" customHeight="1" x14ac:dyDescent="0.2">
      <c r="B3" s="15" t="s">
        <v>7</v>
      </c>
      <c r="C3" s="36" t="s">
        <v>9</v>
      </c>
      <c r="D3" s="36" t="s">
        <v>8</v>
      </c>
    </row>
    <row r="4" spans="1:20" ht="27.95" customHeight="1" x14ac:dyDescent="0.3">
      <c r="A4" s="1"/>
      <c r="B4" s="16" t="s">
        <v>12</v>
      </c>
      <c r="C4" s="13" t="s">
        <v>31</v>
      </c>
      <c r="D4" s="14">
        <v>800</v>
      </c>
    </row>
    <row r="5" spans="1:20" ht="27.95" customHeight="1" x14ac:dyDescent="0.3">
      <c r="A5" s="1"/>
      <c r="B5" s="16" t="s">
        <v>14</v>
      </c>
      <c r="C5" s="13" t="s">
        <v>31</v>
      </c>
      <c r="D5" s="14">
        <v>120</v>
      </c>
    </row>
    <row r="6" spans="1:20" ht="27.95" customHeight="1" x14ac:dyDescent="0.3">
      <c r="A6" s="1"/>
      <c r="B6" s="16" t="s">
        <v>16</v>
      </c>
      <c r="C6" s="13" t="s">
        <v>31</v>
      </c>
      <c r="D6" s="14">
        <v>50</v>
      </c>
      <c r="G6" s="8"/>
      <c r="H6" s="9"/>
    </row>
    <row r="7" spans="1:20" ht="27.95" customHeight="1" x14ac:dyDescent="0.3">
      <c r="A7" s="1"/>
      <c r="B7" s="16" t="s">
        <v>17</v>
      </c>
      <c r="C7" s="13" t="s">
        <v>31</v>
      </c>
      <c r="D7" s="14">
        <v>45</v>
      </c>
    </row>
    <row r="8" spans="1:20" ht="27.95" customHeight="1" x14ac:dyDescent="0.3">
      <c r="A8" s="1"/>
      <c r="B8" s="16" t="s">
        <v>18</v>
      </c>
      <c r="C8" s="13" t="s">
        <v>31</v>
      </c>
      <c r="D8" s="14">
        <v>500</v>
      </c>
    </row>
    <row r="9" spans="1:20" ht="27.95" customHeight="1" x14ac:dyDescent="0.3">
      <c r="A9" s="1"/>
      <c r="B9" s="16" t="s">
        <v>26</v>
      </c>
      <c r="C9" s="13" t="s">
        <v>31</v>
      </c>
      <c r="D9" s="14">
        <v>273</v>
      </c>
    </row>
    <row r="10" spans="1:20" ht="27.95" customHeight="1" x14ac:dyDescent="0.3">
      <c r="A10" s="1"/>
      <c r="B10" s="16" t="s">
        <v>19</v>
      </c>
      <c r="C10" s="13" t="s">
        <v>31</v>
      </c>
      <c r="D10" s="14">
        <v>120</v>
      </c>
    </row>
    <row r="11" spans="1:20" ht="27.95" customHeight="1" x14ac:dyDescent="0.3">
      <c r="A11" s="1"/>
      <c r="B11" s="16" t="s">
        <v>20</v>
      </c>
      <c r="C11" s="13" t="s">
        <v>31</v>
      </c>
      <c r="D11" s="14">
        <v>50</v>
      </c>
    </row>
    <row r="12" spans="1:20" ht="27.95" customHeight="1" x14ac:dyDescent="0.3">
      <c r="A12" s="1"/>
      <c r="B12" s="16" t="s">
        <v>21</v>
      </c>
      <c r="C12" s="13" t="s">
        <v>31</v>
      </c>
      <c r="D12" s="14">
        <v>100</v>
      </c>
    </row>
    <row r="13" spans="1:20" ht="27.95" customHeight="1" x14ac:dyDescent="0.3">
      <c r="A13" s="1"/>
      <c r="B13" s="16" t="s">
        <v>22</v>
      </c>
      <c r="C13" s="13" t="s">
        <v>31</v>
      </c>
      <c r="D13" s="14">
        <v>78</v>
      </c>
    </row>
    <row r="14" spans="1:20" ht="27.95" customHeight="1" x14ac:dyDescent="0.3">
      <c r="A14" s="1"/>
      <c r="B14" s="16" t="s">
        <v>23</v>
      </c>
      <c r="C14" s="13" t="s">
        <v>31</v>
      </c>
      <c r="D14" s="14">
        <v>50</v>
      </c>
    </row>
    <row r="15" spans="1:20" ht="27.95" customHeight="1" x14ac:dyDescent="0.3">
      <c r="A15" s="1"/>
      <c r="B15" s="16" t="s">
        <v>24</v>
      </c>
      <c r="C15" s="13" t="s">
        <v>31</v>
      </c>
      <c r="D15" s="14">
        <v>100</v>
      </c>
    </row>
    <row r="16" spans="1:20" ht="27.95" customHeight="1" x14ac:dyDescent="0.3">
      <c r="A16" s="1"/>
      <c r="B16" s="16" t="s">
        <v>25</v>
      </c>
      <c r="C16" s="13" t="s">
        <v>31</v>
      </c>
      <c r="D16" s="14">
        <v>50</v>
      </c>
    </row>
  </sheetData>
  <dataValidations count="6">
    <dataValidation allowBlank="1" showInputMessage="1" showErrorMessage="1" prompt="Enter Monthly Expenses in this worksheet" sqref="A1" xr:uid="{00000000-0002-0000-0200-000000000000}"/>
    <dataValidation allowBlank="1" showInputMessage="1" showErrorMessage="1" prompt="Enter expense Items in this column under this heading. Use heading filters to find specific entries" sqref="B3" xr:uid="{00000000-0002-0000-0200-000001000000}"/>
    <dataValidation allowBlank="1" showInputMessage="1" showErrorMessage="1" prompt="Enter Due Date in this column under this heading" sqref="C3" xr:uid="{00000000-0002-0000-0200-000002000000}"/>
    <dataValidation allowBlank="1" showInputMessage="1" showErrorMessage="1" prompt="Enter Amount in this column under this heading" sqref="D3" xr:uid="{00000000-0002-0000-0200-000003000000}"/>
    <dataValidation allowBlank="1" showInputMessage="1" showErrorMessage="1" prompt="Title is automatically updated in this cell" sqref="B1" xr:uid="{00000000-0002-0000-0200-000004000000}"/>
    <dataValidation allowBlank="1" showInputMessage="1" showErrorMessage="1" prompt="Enter Monthly Expenses in table below" sqref="B2" xr:uid="{00000000-0002-0000-0200-000005000000}"/>
  </dataValidations>
  <printOptions horizontalCentered="1"/>
  <pageMargins left="0.4" right="0.4" top="0.4" bottom="0.4" header="0.25" footer="0.25"/>
  <pageSetup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theme="1" tint="0.249977111117893"/>
  </sheetPr>
  <dimension ref="B2:B6"/>
  <sheetViews>
    <sheetView workbookViewId="0">
      <selection activeCell="B5" sqref="B5"/>
    </sheetView>
  </sheetViews>
  <sheetFormatPr defaultRowHeight="16.5" x14ac:dyDescent="0.3"/>
  <cols>
    <col min="1" max="1" width="1.5" customWidth="1"/>
  </cols>
  <sheetData>
    <row r="2" spans="2:2" x14ac:dyDescent="0.3">
      <c r="B2" t="s">
        <v>29</v>
      </c>
    </row>
    <row r="4" spans="2:2" x14ac:dyDescent="0.3">
      <c r="B4" s="3">
        <f>MIN(1,1-B5)</f>
        <v>0.37706666666666666</v>
      </c>
    </row>
    <row r="5" spans="2:2" x14ac:dyDescent="0.3">
      <c r="B5" s="3">
        <f>MIN(TotalMonthlyExpenses/TotalMonthlyIncome,1)</f>
        <v>0.62293333333333334</v>
      </c>
    </row>
    <row r="6" spans="2:2" x14ac:dyDescent="0.3">
      <c r="B6" t="b">
        <f>(TotalMonthlyExpenses/TotalMonthlyIncome)&gt;1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Summary</vt:lpstr>
      <vt:lpstr>Monthly Income</vt:lpstr>
      <vt:lpstr>Monthly Savings</vt:lpstr>
      <vt:lpstr>Monthly Expenses</vt:lpstr>
      <vt:lpstr>Chart Data</vt:lpstr>
      <vt:lpstr>BudgetTitle</vt:lpstr>
      <vt:lpstr>ColumnTitleRegion1..C4.1</vt:lpstr>
      <vt:lpstr>ColumnTitleRegion2..C6.1</vt:lpstr>
      <vt:lpstr>ColumnTitleRegion3..C8.1</vt:lpstr>
      <vt:lpstr>ColumnTitleRegion4..C10.1</vt:lpstr>
      <vt:lpstr>Percentage_of_Income_Spent</vt:lpstr>
      <vt:lpstr>'Monthly Expenses'!Print_Titles</vt:lpstr>
      <vt:lpstr>'Monthly Income'!Print_Titles</vt:lpstr>
      <vt:lpstr>'Monthly Savings'!Print_Titles</vt:lpstr>
      <vt:lpstr>Title2</vt:lpstr>
      <vt:lpstr>Title3</vt:lpstr>
      <vt:lpstr>Title4</vt:lpstr>
      <vt:lpstr>TotalMonthlyExpenses</vt:lpstr>
      <vt:lpstr>TotalMonthlyIncome</vt:lpstr>
      <vt:lpstr>TotalMonthlySavings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GorillaExcel</dc:creator>
  <cp:lastModifiedBy>SEBASTIAN DIAS</cp:lastModifiedBy>
  <dcterms:created xsi:type="dcterms:W3CDTF">2017-11-19T23:54:12Z</dcterms:created>
  <dcterms:modified xsi:type="dcterms:W3CDTF">2025-04-14T14:49:02Z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2017-11-19T23:54:19.5172512Z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